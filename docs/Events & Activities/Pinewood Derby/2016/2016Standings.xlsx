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tadmin\Desktop\Derby History\"/>
    </mc:Choice>
  </mc:AlternateContent>
  <bookViews>
    <workbookView xWindow="0" yWindow="0" windowWidth="20490" windowHeight="7755"/>
  </bookViews>
  <sheets>
    <sheet name="2016 Standings" sheetId="1" r:id="rId1"/>
  </sheets>
  <calcPr calcId="0"/>
</workbook>
</file>

<file path=xl/calcChain.xml><?xml version="1.0" encoding="utf-8"?>
<calcChain xmlns="http://schemas.openxmlformats.org/spreadsheetml/2006/main">
  <c r="F33" i="1" l="1"/>
  <c r="F24" i="1"/>
  <c r="F12" i="1"/>
  <c r="F5" i="1"/>
</calcChain>
</file>

<file path=xl/sharedStrings.xml><?xml version="1.0" encoding="utf-8"?>
<sst xmlns="http://schemas.openxmlformats.org/spreadsheetml/2006/main" count="64" uniqueCount="40">
  <si>
    <t>Pos</t>
  </si>
  <si>
    <t>Car</t>
  </si>
  <si>
    <t>Driver</t>
  </si>
  <si>
    <t>Rank</t>
  </si>
  <si>
    <t>Total</t>
  </si>
  <si>
    <t>Avg *</t>
  </si>
  <si>
    <t>Min</t>
  </si>
  <si>
    <t>Max</t>
  </si>
  <si>
    <t>Nate Coup</t>
  </si>
  <si>
    <t>Wolf</t>
  </si>
  <si>
    <t>Zachary Yarwood</t>
  </si>
  <si>
    <t>Webelos I</t>
  </si>
  <si>
    <t>Ian Lancaster</t>
  </si>
  <si>
    <t>Jackson Halvorsen</t>
  </si>
  <si>
    <t>Brady Arneson</t>
  </si>
  <si>
    <t>Tiger</t>
  </si>
  <si>
    <t>Jason Middendorf</t>
  </si>
  <si>
    <t>Eric Lancaster</t>
  </si>
  <si>
    <t>Bradley Middendorf</t>
  </si>
  <si>
    <t>Thomas Zemsky</t>
  </si>
  <si>
    <t>Bear</t>
  </si>
  <si>
    <t>Logan Middendorf</t>
  </si>
  <si>
    <t>Eric Yanowsky</t>
  </si>
  <si>
    <t>Shen Henson</t>
  </si>
  <si>
    <t>Brodie Halvorsen</t>
  </si>
  <si>
    <t>Ryan Farrell</t>
  </si>
  <si>
    <t>Patrick Tromp</t>
  </si>
  <si>
    <t>Benjamin Eden</t>
  </si>
  <si>
    <t>William Lauricella</t>
  </si>
  <si>
    <t>Ethan Prescott</t>
  </si>
  <si>
    <t>Everett Probeck</t>
  </si>
  <si>
    <t>Luke Zito</t>
  </si>
  <si>
    <t>Aiden Bigwarfe</t>
  </si>
  <si>
    <t>Jason Martin</t>
  </si>
  <si>
    <t>Ethan Bigwarfe</t>
  </si>
  <si>
    <t>Maxwell Cleary</t>
  </si>
  <si>
    <t>Alex Johannesen</t>
  </si>
  <si>
    <t>Sean Meek</t>
  </si>
  <si>
    <t>Brett Chirkis</t>
  </si>
  <si>
    <t>Grant Rinckey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</si>
</sst>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352425</xdr:colOff>
      <xdr:row>1</xdr:row>
      <xdr:rowOff>66674</xdr:rowOff>
    </xdr:from>
    <xdr:ext cx="1943100" cy="4829176"/>
    <xdr:sp macro="" textlink="">
      <xdr:nvSpPr>
        <xdr:cNvPr id="3" name="TextBox 2"/>
        <xdr:cNvSpPr txBox="1"/>
      </xdr:nvSpPr>
      <xdr:spPr>
        <a:xfrm>
          <a:off x="5229225" y="257174"/>
          <a:ext cx="1943100" cy="4829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2016 Pinewood Dery Results</a:t>
          </a:r>
        </a:p>
        <a:p>
          <a:endParaRPr lang="en-US" sz="1100"/>
        </a:p>
        <a:p>
          <a:r>
            <a:rPr lang="en-US" sz="1100"/>
            <a:t>Overall:</a:t>
          </a:r>
        </a:p>
        <a:p>
          <a:r>
            <a:rPr lang="en-US" sz="1100"/>
            <a:t>1.</a:t>
          </a:r>
          <a:r>
            <a:rPr lang="en-US" sz="1100" baseline="0"/>
            <a:t>  Nate Coup</a:t>
          </a:r>
        </a:p>
        <a:p>
          <a:r>
            <a:rPr lang="en-US" sz="1100" baseline="0"/>
            <a:t>2.  Zackary Yarwood</a:t>
          </a:r>
        </a:p>
        <a:p>
          <a:r>
            <a:rPr lang="en-US" sz="1100" baseline="0"/>
            <a:t>3.  Ian Lancaster</a:t>
          </a:r>
        </a:p>
        <a:p>
          <a:endParaRPr lang="en-US" sz="1100" baseline="0"/>
        </a:p>
        <a:p>
          <a:r>
            <a:rPr lang="en-US" sz="1100" baseline="0"/>
            <a:t>Tiger</a:t>
          </a:r>
        </a:p>
        <a:p>
          <a:r>
            <a:rPr lang="en-US" sz="1100" baseline="0"/>
            <a:t>1.  Brady Arneson</a:t>
          </a:r>
        </a:p>
        <a:p>
          <a:r>
            <a:rPr lang="en-US" sz="1100" baseline="0"/>
            <a:t>2.  Ian Lancaster</a:t>
          </a:r>
        </a:p>
        <a:p>
          <a:r>
            <a:rPr lang="en-US" sz="1100" baseline="0"/>
            <a:t>3.  Bradley Middendorf</a:t>
          </a:r>
        </a:p>
        <a:p>
          <a:endParaRPr lang="en-US" sz="1100" baseline="0"/>
        </a:p>
        <a:p>
          <a:r>
            <a:rPr lang="en-US" sz="1100" baseline="0"/>
            <a:t>Wolf:</a:t>
          </a:r>
        </a:p>
        <a:p>
          <a:r>
            <a:rPr lang="en-US" sz="1100" baseline="0"/>
            <a:t>1.  Brodie Halvorsen</a:t>
          </a:r>
        </a:p>
        <a:p>
          <a:r>
            <a:rPr lang="en-US" sz="1100" baseline="0"/>
            <a:t>2.  Ryan Farrell</a:t>
          </a:r>
        </a:p>
        <a:p>
          <a:r>
            <a:rPr lang="en-US" sz="1100" baseline="0"/>
            <a:t>3.  Patrick Tromp</a:t>
          </a:r>
        </a:p>
        <a:p>
          <a:endParaRPr lang="en-US" sz="1100" baseline="0"/>
        </a:p>
        <a:p>
          <a:r>
            <a:rPr lang="en-US" sz="1100" baseline="0"/>
            <a:t>Bear:</a:t>
          </a:r>
        </a:p>
        <a:p>
          <a:r>
            <a:rPr lang="en-US" sz="1100" baseline="0"/>
            <a:t>1.  Thomas Zemsky</a:t>
          </a:r>
        </a:p>
        <a:p>
          <a:r>
            <a:rPr lang="en-US" sz="1100" baseline="0"/>
            <a:t>2.  Eric Yanowsky</a:t>
          </a:r>
        </a:p>
        <a:p>
          <a:r>
            <a:rPr lang="en-US" sz="1100" baseline="0"/>
            <a:t>3.  Alex Johansen</a:t>
          </a:r>
        </a:p>
        <a:p>
          <a:endParaRPr lang="en-US" sz="1100" baseline="0"/>
        </a:p>
        <a:p>
          <a:r>
            <a:rPr lang="en-US" sz="1100" baseline="0"/>
            <a:t>Webelos:</a:t>
          </a:r>
        </a:p>
        <a:p>
          <a:r>
            <a:rPr lang="en-US" sz="1100" baseline="0"/>
            <a:t>1.  Jackson Halvosen</a:t>
          </a:r>
        </a:p>
        <a:p>
          <a:r>
            <a:rPr lang="en-US" sz="1100" baseline="0"/>
            <a:t>2.  Jason Middendorf</a:t>
          </a:r>
        </a:p>
        <a:p>
          <a:r>
            <a:rPr lang="en-US" sz="1100" baseline="0"/>
            <a:t>3.  Logan Middendorf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oneCellAnchor>
  <xdr:twoCellAnchor>
    <xdr:from>
      <xdr:col>11</xdr:col>
      <xdr:colOff>361950</xdr:colOff>
      <xdr:row>6</xdr:row>
      <xdr:rowOff>123825</xdr:rowOff>
    </xdr:from>
    <xdr:to>
      <xdr:col>13</xdr:col>
      <xdr:colOff>161925</xdr:colOff>
      <xdr:row>10</xdr:row>
      <xdr:rowOff>114300</xdr:rowOff>
    </xdr:to>
    <xdr:sp macro="" textlink="">
      <xdr:nvSpPr>
        <xdr:cNvPr id="4" name="TextBox 3"/>
        <xdr:cNvSpPr txBox="1"/>
      </xdr:nvSpPr>
      <xdr:spPr>
        <a:xfrm>
          <a:off x="7067550" y="1266825"/>
          <a:ext cx="1019175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Fastest Den:</a:t>
          </a:r>
        </a:p>
        <a:p>
          <a:r>
            <a:rPr lang="en-US" sz="1100"/>
            <a:t>Webelos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M15" sqref="M1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9</v>
      </c>
      <c r="B2">
        <v>26</v>
      </c>
      <c r="C2" t="s">
        <v>19</v>
      </c>
      <c r="D2" t="s">
        <v>20</v>
      </c>
      <c r="E2">
        <v>19.703600000000002</v>
      </c>
      <c r="F2">
        <v>2.4630000000000001</v>
      </c>
      <c r="G2">
        <v>2.4466999999999999</v>
      </c>
      <c r="H2">
        <v>2.4805999999999999</v>
      </c>
    </row>
    <row r="3" spans="1:8" x14ac:dyDescent="0.25">
      <c r="A3">
        <v>11</v>
      </c>
      <c r="B3">
        <v>27</v>
      </c>
      <c r="C3" t="s">
        <v>22</v>
      </c>
      <c r="D3" t="s">
        <v>20</v>
      </c>
      <c r="E3">
        <v>19.8581</v>
      </c>
      <c r="F3">
        <v>2.4823</v>
      </c>
      <c r="G3">
        <v>2.4698000000000002</v>
      </c>
      <c r="H3">
        <v>2.4977</v>
      </c>
    </row>
    <row r="4" spans="1:8" x14ac:dyDescent="0.25">
      <c r="A4">
        <v>25</v>
      </c>
      <c r="B4">
        <v>29</v>
      </c>
      <c r="C4" t="s">
        <v>36</v>
      </c>
      <c r="D4" t="s">
        <v>20</v>
      </c>
      <c r="E4">
        <v>23.251899999999999</v>
      </c>
      <c r="F4">
        <v>2.9064999999999999</v>
      </c>
      <c r="G4">
        <v>2.7826</v>
      </c>
      <c r="H4">
        <v>3.2202000000000002</v>
      </c>
    </row>
    <row r="5" spans="1:8" x14ac:dyDescent="0.25">
      <c r="F5">
        <f>AVERAGE(F2:F4)</f>
        <v>2.6172666666666662</v>
      </c>
    </row>
    <row r="6" spans="1:8" x14ac:dyDescent="0.25">
      <c r="A6">
        <v>5</v>
      </c>
      <c r="B6">
        <v>36</v>
      </c>
      <c r="C6" t="s">
        <v>14</v>
      </c>
      <c r="D6" t="s">
        <v>15</v>
      </c>
      <c r="E6">
        <v>19.587399999999999</v>
      </c>
      <c r="F6">
        <v>2.4483999999999999</v>
      </c>
      <c r="G6">
        <v>2.4283999999999999</v>
      </c>
      <c r="H6">
        <v>2.4794</v>
      </c>
    </row>
    <row r="7" spans="1:8" x14ac:dyDescent="0.25">
      <c r="A7">
        <v>7</v>
      </c>
      <c r="B7">
        <v>32</v>
      </c>
      <c r="C7" t="s">
        <v>17</v>
      </c>
      <c r="D7" t="s">
        <v>15</v>
      </c>
      <c r="E7">
        <v>19.624300000000002</v>
      </c>
      <c r="F7">
        <v>2.4529999999999998</v>
      </c>
      <c r="G7">
        <v>2.4470000000000001</v>
      </c>
      <c r="H7">
        <v>2.4618000000000002</v>
      </c>
    </row>
    <row r="8" spans="1:8" x14ac:dyDescent="0.25">
      <c r="A8">
        <v>8</v>
      </c>
      <c r="B8">
        <v>11</v>
      </c>
      <c r="C8" t="s">
        <v>18</v>
      </c>
      <c r="D8" t="s">
        <v>15</v>
      </c>
      <c r="E8">
        <v>19.627099999999999</v>
      </c>
      <c r="F8">
        <v>2.4533999999999998</v>
      </c>
      <c r="G8">
        <v>2.4336000000000002</v>
      </c>
      <c r="H8">
        <v>2.4792000000000001</v>
      </c>
    </row>
    <row r="9" spans="1:8" x14ac:dyDescent="0.25">
      <c r="A9">
        <v>21</v>
      </c>
      <c r="B9">
        <v>34</v>
      </c>
      <c r="C9" t="s">
        <v>32</v>
      </c>
      <c r="D9" t="s">
        <v>15</v>
      </c>
      <c r="E9">
        <v>21.162600000000001</v>
      </c>
      <c r="F9">
        <v>2.6453000000000002</v>
      </c>
      <c r="G9">
        <v>2.6059999999999999</v>
      </c>
      <c r="H9">
        <v>2.6836000000000002</v>
      </c>
    </row>
    <row r="10" spans="1:8" x14ac:dyDescent="0.25">
      <c r="A10">
        <v>22</v>
      </c>
      <c r="B10">
        <v>30</v>
      </c>
      <c r="C10" t="s">
        <v>33</v>
      </c>
      <c r="D10" t="s">
        <v>15</v>
      </c>
      <c r="E10">
        <v>22.010100000000001</v>
      </c>
      <c r="F10">
        <v>2.7513000000000001</v>
      </c>
      <c r="G10">
        <v>2.6911</v>
      </c>
      <c r="H10">
        <v>2.8168000000000002</v>
      </c>
    </row>
    <row r="11" spans="1:8" x14ac:dyDescent="0.25">
      <c r="A11">
        <v>23</v>
      </c>
      <c r="B11">
        <v>35</v>
      </c>
      <c r="C11" t="s">
        <v>34</v>
      </c>
      <c r="D11" t="s">
        <v>15</v>
      </c>
      <c r="E11">
        <v>22.1374</v>
      </c>
      <c r="F11">
        <v>2.7671999999999999</v>
      </c>
      <c r="G11">
        <v>2.6259999999999999</v>
      </c>
      <c r="H11">
        <v>3.3472</v>
      </c>
    </row>
    <row r="12" spans="1:8" x14ac:dyDescent="0.25">
      <c r="F12">
        <f>AVERAGE(F6:F11)</f>
        <v>2.5864333333333334</v>
      </c>
    </row>
    <row r="13" spans="1:8" x14ac:dyDescent="0.25">
      <c r="A13">
        <v>2</v>
      </c>
      <c r="B13">
        <v>15</v>
      </c>
      <c r="C13" t="s">
        <v>10</v>
      </c>
      <c r="D13" t="s">
        <v>11</v>
      </c>
      <c r="E13">
        <v>19.4282</v>
      </c>
      <c r="F13">
        <v>2.4285000000000001</v>
      </c>
      <c r="G13">
        <v>2.3986000000000001</v>
      </c>
      <c r="H13">
        <v>2.4647000000000001</v>
      </c>
    </row>
    <row r="14" spans="1:8" x14ac:dyDescent="0.25">
      <c r="A14">
        <v>3</v>
      </c>
      <c r="B14">
        <v>21</v>
      </c>
      <c r="C14" t="s">
        <v>12</v>
      </c>
      <c r="D14" t="s">
        <v>11</v>
      </c>
      <c r="E14">
        <v>19.468900000000001</v>
      </c>
      <c r="F14">
        <v>2.4336000000000002</v>
      </c>
      <c r="G14">
        <v>2.4237000000000002</v>
      </c>
      <c r="H14">
        <v>2.4460000000000002</v>
      </c>
    </row>
    <row r="15" spans="1:8" x14ac:dyDescent="0.25">
      <c r="A15">
        <v>4</v>
      </c>
      <c r="B15">
        <v>24</v>
      </c>
      <c r="C15" t="s">
        <v>13</v>
      </c>
      <c r="D15" t="s">
        <v>11</v>
      </c>
      <c r="E15">
        <v>19.524100000000001</v>
      </c>
      <c r="F15">
        <v>2.4405000000000001</v>
      </c>
      <c r="G15">
        <v>2.4285999999999999</v>
      </c>
      <c r="H15">
        <v>2.4561000000000002</v>
      </c>
    </row>
    <row r="16" spans="1:8" x14ac:dyDescent="0.25">
      <c r="A16">
        <v>6</v>
      </c>
      <c r="B16">
        <v>22</v>
      </c>
      <c r="C16" t="s">
        <v>16</v>
      </c>
      <c r="D16" t="s">
        <v>11</v>
      </c>
      <c r="E16">
        <v>19.602699999999999</v>
      </c>
      <c r="F16">
        <v>2.4502999999999999</v>
      </c>
      <c r="G16">
        <v>2.4382000000000001</v>
      </c>
      <c r="H16">
        <v>2.4620000000000002</v>
      </c>
    </row>
    <row r="17" spans="1:8" x14ac:dyDescent="0.25">
      <c r="A17">
        <v>10</v>
      </c>
      <c r="B17">
        <v>33</v>
      </c>
      <c r="C17" t="s">
        <v>21</v>
      </c>
      <c r="D17" t="s">
        <v>11</v>
      </c>
      <c r="E17">
        <v>19.819199999999999</v>
      </c>
      <c r="F17">
        <v>2.4773999999999998</v>
      </c>
      <c r="G17">
        <v>2.4554999999999998</v>
      </c>
      <c r="H17">
        <v>2.4967000000000001</v>
      </c>
    </row>
    <row r="18" spans="1:8" x14ac:dyDescent="0.25">
      <c r="A18">
        <v>12</v>
      </c>
      <c r="B18">
        <v>23</v>
      </c>
      <c r="C18" t="s">
        <v>23</v>
      </c>
      <c r="D18" t="s">
        <v>11</v>
      </c>
      <c r="E18">
        <v>19.898099999999999</v>
      </c>
      <c r="F18">
        <v>2.4872999999999998</v>
      </c>
      <c r="G18">
        <v>2.4763000000000002</v>
      </c>
      <c r="H18">
        <v>2.4977</v>
      </c>
    </row>
    <row r="19" spans="1:8" x14ac:dyDescent="0.25">
      <c r="A19">
        <v>17</v>
      </c>
      <c r="B19">
        <v>20</v>
      </c>
      <c r="C19" t="s">
        <v>28</v>
      </c>
      <c r="D19" t="s">
        <v>11</v>
      </c>
      <c r="E19">
        <v>20.242699999999999</v>
      </c>
      <c r="F19">
        <v>2.5303</v>
      </c>
      <c r="G19">
        <v>2.5032999999999999</v>
      </c>
      <c r="H19">
        <v>2.5871</v>
      </c>
    </row>
    <row r="20" spans="1:8" x14ac:dyDescent="0.25">
      <c r="A20">
        <v>18</v>
      </c>
      <c r="B20">
        <v>18</v>
      </c>
      <c r="C20" t="s">
        <v>29</v>
      </c>
      <c r="D20" t="s">
        <v>11</v>
      </c>
      <c r="E20">
        <v>20.260999999999999</v>
      </c>
      <c r="F20">
        <v>2.5326</v>
      </c>
      <c r="G20">
        <v>2.4931000000000001</v>
      </c>
      <c r="H20">
        <v>2.7054999999999998</v>
      </c>
    </row>
    <row r="21" spans="1:8" x14ac:dyDescent="0.25">
      <c r="A21">
        <v>20</v>
      </c>
      <c r="B21">
        <v>14</v>
      </c>
      <c r="C21" t="s">
        <v>31</v>
      </c>
      <c r="D21" t="s">
        <v>11</v>
      </c>
      <c r="E21">
        <v>20.452500000000001</v>
      </c>
      <c r="F21">
        <v>2.5566</v>
      </c>
      <c r="G21">
        <v>2.4598</v>
      </c>
      <c r="H21">
        <v>2.6901999999999999</v>
      </c>
    </row>
    <row r="22" spans="1:8" x14ac:dyDescent="0.25">
      <c r="A22">
        <v>26</v>
      </c>
      <c r="B22">
        <v>19</v>
      </c>
      <c r="C22" t="s">
        <v>37</v>
      </c>
      <c r="D22" t="s">
        <v>11</v>
      </c>
      <c r="E22">
        <v>23.887499999999999</v>
      </c>
      <c r="F22">
        <v>2.9859</v>
      </c>
      <c r="G22">
        <v>2.7233999999999998</v>
      </c>
      <c r="H22">
        <v>4.1208999999999998</v>
      </c>
    </row>
    <row r="23" spans="1:8" x14ac:dyDescent="0.25">
      <c r="A23">
        <v>28</v>
      </c>
      <c r="B23">
        <v>17</v>
      </c>
      <c r="C23" t="s">
        <v>39</v>
      </c>
      <c r="D23" t="s">
        <v>11</v>
      </c>
      <c r="E23">
        <v>28.9694</v>
      </c>
      <c r="F23">
        <v>3.6212</v>
      </c>
      <c r="G23">
        <v>2.4344999999999999</v>
      </c>
      <c r="H23">
        <v>9.6747999999999994</v>
      </c>
    </row>
    <row r="24" spans="1:8" x14ac:dyDescent="0.25">
      <c r="F24">
        <f>AVERAGE(F13:F23)</f>
        <v>2.6312909090909087</v>
      </c>
    </row>
    <row r="25" spans="1:8" x14ac:dyDescent="0.25">
      <c r="A25">
        <v>1</v>
      </c>
      <c r="B25">
        <v>10</v>
      </c>
      <c r="C25" t="s">
        <v>8</v>
      </c>
      <c r="D25" t="s">
        <v>9</v>
      </c>
      <c r="E25">
        <v>19.290099999999999</v>
      </c>
      <c r="F25">
        <v>2.4113000000000002</v>
      </c>
      <c r="G25">
        <v>2.3988999999999998</v>
      </c>
      <c r="H25">
        <v>2.4215</v>
      </c>
    </row>
    <row r="26" spans="1:8" x14ac:dyDescent="0.25">
      <c r="A26">
        <v>13</v>
      </c>
      <c r="B26">
        <v>7</v>
      </c>
      <c r="C26" t="s">
        <v>24</v>
      </c>
      <c r="D26" t="s">
        <v>9</v>
      </c>
      <c r="E26">
        <v>19.899999999999999</v>
      </c>
      <c r="F26">
        <v>2.4874999999999998</v>
      </c>
      <c r="G26">
        <v>2.4634</v>
      </c>
      <c r="H26">
        <v>2.5329000000000002</v>
      </c>
    </row>
    <row r="27" spans="1:8" x14ac:dyDescent="0.25">
      <c r="A27">
        <v>14</v>
      </c>
      <c r="B27">
        <v>8</v>
      </c>
      <c r="C27" t="s">
        <v>25</v>
      </c>
      <c r="D27" t="s">
        <v>9</v>
      </c>
      <c r="E27">
        <v>19.988800000000001</v>
      </c>
      <c r="F27">
        <v>2.4986000000000002</v>
      </c>
      <c r="G27">
        <v>2.4794</v>
      </c>
      <c r="H27">
        <v>2.5076999999999998</v>
      </c>
    </row>
    <row r="28" spans="1:8" x14ac:dyDescent="0.25">
      <c r="A28">
        <v>15</v>
      </c>
      <c r="B28">
        <v>3</v>
      </c>
      <c r="C28" t="s">
        <v>26</v>
      </c>
      <c r="D28" t="s">
        <v>9</v>
      </c>
      <c r="E28">
        <v>20.047899999999998</v>
      </c>
      <c r="F28">
        <v>2.5059999999999998</v>
      </c>
      <c r="G28">
        <v>2.4817</v>
      </c>
      <c r="H28">
        <v>2.5379</v>
      </c>
    </row>
    <row r="29" spans="1:8" x14ac:dyDescent="0.25">
      <c r="A29">
        <v>16</v>
      </c>
      <c r="B29">
        <v>9</v>
      </c>
      <c r="C29" t="s">
        <v>27</v>
      </c>
      <c r="D29" t="s">
        <v>9</v>
      </c>
      <c r="E29">
        <v>20.104500000000002</v>
      </c>
      <c r="F29">
        <v>2.5131000000000001</v>
      </c>
      <c r="G29">
        <v>2.4921000000000002</v>
      </c>
      <c r="H29">
        <v>2.5440999999999998</v>
      </c>
    </row>
    <row r="30" spans="1:8" x14ac:dyDescent="0.25">
      <c r="A30">
        <v>19</v>
      </c>
      <c r="B30">
        <v>4</v>
      </c>
      <c r="C30" t="s">
        <v>30</v>
      </c>
      <c r="D30" t="s">
        <v>9</v>
      </c>
      <c r="E30">
        <v>20.361999999999998</v>
      </c>
      <c r="F30">
        <v>2.5453000000000001</v>
      </c>
      <c r="G30">
        <v>2.5343</v>
      </c>
      <c r="H30">
        <v>2.5609999999999999</v>
      </c>
    </row>
    <row r="31" spans="1:8" x14ac:dyDescent="0.25">
      <c r="A31">
        <v>24</v>
      </c>
      <c r="B31">
        <v>12</v>
      </c>
      <c r="C31" t="s">
        <v>35</v>
      </c>
      <c r="D31" t="s">
        <v>9</v>
      </c>
      <c r="E31">
        <v>22.140499999999999</v>
      </c>
      <c r="F31">
        <v>2.7675999999999998</v>
      </c>
      <c r="G31">
        <v>2.7193000000000001</v>
      </c>
      <c r="H31">
        <v>2.8292999999999999</v>
      </c>
    </row>
    <row r="32" spans="1:8" x14ac:dyDescent="0.25">
      <c r="A32">
        <v>27</v>
      </c>
      <c r="B32">
        <v>13</v>
      </c>
      <c r="C32" t="s">
        <v>38</v>
      </c>
      <c r="D32" t="s">
        <v>9</v>
      </c>
      <c r="E32">
        <v>25.154599999999999</v>
      </c>
      <c r="F32">
        <v>3.1442999999999999</v>
      </c>
      <c r="G32">
        <v>3.0811000000000002</v>
      </c>
      <c r="H32">
        <v>3.2709000000000001</v>
      </c>
    </row>
    <row r="33" spans="6:6" x14ac:dyDescent="0.25">
      <c r="F33">
        <f>AVERAGE(F25:F32)</f>
        <v>2.6092124999999999</v>
      </c>
    </row>
  </sheetData>
  <sortState ref="A2:H29">
    <sortCondition ref="D2:D29"/>
    <sortCondition ref="F2:F29"/>
  </sortState>
  <pageMargins left="0.7" right="0.7" top="0.75" bottom="0.75" header="0.3" footer="0.3"/>
  <drawing r:id="rId1"/>
</worksheet>
</file>